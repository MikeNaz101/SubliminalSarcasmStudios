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Mike\Desktop\SubliminalSarcasmStudios\Legal Documents\"/>
    </mc:Choice>
  </mc:AlternateContent>
  <xr:revisionPtr revIDLastSave="0" documentId="8_{11E64E82-25F4-45CB-82DA-634A74717E59}" xr6:coauthVersionLast="47" xr6:coauthVersionMax="47" xr10:uidLastSave="{00000000-0000-0000-0000-000000000000}"/>
  <bookViews>
    <workbookView xWindow="16725" yWindow="1875" windowWidth="39240" windowHeight="15345" xr2:uid="{242BDF8B-0201-4BB4-85B9-33C8FFA1447C}"/>
  </bookViews>
  <sheets>
    <sheet name="Form" sheetId="1" r:id="rId1"/>
  </sheets>
  <definedNames>
    <definedName name="_xlnm.Print_Area" localSheetId="0">Form!$A$1:$J$56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1" l="1"/>
  <c r="J34" i="1" s="1"/>
  <c r="J35" i="1" s="1"/>
  <c r="J37" i="1" s="1"/>
  <c r="J44" i="1" s="1"/>
  <c r="J25" i="1"/>
  <c r="J28" i="1"/>
  <c r="J23" i="1"/>
  <c r="J26" i="1"/>
  <c r="J24" i="1"/>
  <c r="J29" i="1"/>
  <c r="J31" i="1"/>
  <c r="J30" i="1"/>
  <c r="J32" i="1"/>
  <c r="J27" i="1"/>
  <c r="C34" i="1"/>
  <c r="D34" i="1"/>
  <c r="F34" i="1"/>
  <c r="G34" i="1"/>
  <c r="E34" i="1"/>
  <c r="H34" i="1"/>
  <c r="I34" i="1"/>
</calcChain>
</file>

<file path=xl/sharedStrings.xml><?xml version="1.0" encoding="utf-8"?>
<sst xmlns="http://schemas.openxmlformats.org/spreadsheetml/2006/main" count="68" uniqueCount="66">
  <si>
    <t>Name</t>
  </si>
  <si>
    <t>Purpose of Travel</t>
  </si>
  <si>
    <t>Destination(s)</t>
  </si>
  <si>
    <t>DAILY TRAVEL EXPENSE SUMMARY</t>
  </si>
  <si>
    <t>Totals</t>
  </si>
  <si>
    <t>Date</t>
  </si>
  <si>
    <t>Parking/Toll</t>
  </si>
  <si>
    <t>Daily Totals</t>
  </si>
  <si>
    <t>Grand Total</t>
  </si>
  <si>
    <t>Less Advance</t>
  </si>
  <si>
    <t>Explanation/Comments</t>
  </si>
  <si>
    <t>Balance Due</t>
  </si>
  <si>
    <t>Instructions:</t>
  </si>
  <si>
    <t>1.  Fill in name, address, etc.</t>
  </si>
  <si>
    <t>Cost Center</t>
  </si>
  <si>
    <t>Sub Account</t>
  </si>
  <si>
    <t>GL Account</t>
  </si>
  <si>
    <t>Amount</t>
  </si>
  <si>
    <t>2.  Fill in daily costs according to type of expense</t>
  </si>
  <si>
    <t>3.  Total daily costs and category costs</t>
  </si>
  <si>
    <t>4.  Fill in accounting codes if applicable</t>
  </si>
  <si>
    <t>5.  Attach receipts for all expenses</t>
  </si>
  <si>
    <t>6.  Sign and have supervisor or Project Manager sign</t>
  </si>
  <si>
    <t>Traveler's Signature &amp; Date</t>
  </si>
  <si>
    <t>Supervisor/Project Manager Signature &amp; Date</t>
  </si>
  <si>
    <t>Day</t>
  </si>
  <si>
    <t>Tips</t>
  </si>
  <si>
    <t>Lodging</t>
  </si>
  <si>
    <t>Wed</t>
  </si>
  <si>
    <t>Tues</t>
  </si>
  <si>
    <t>Sun</t>
  </si>
  <si>
    <t>Mon</t>
  </si>
  <si>
    <t>Thu</t>
  </si>
  <si>
    <t>Sat</t>
  </si>
  <si>
    <t>Date:</t>
  </si>
  <si>
    <t>ASIS&amp;T TRAVEL EXPENSE REPORT</t>
  </si>
  <si>
    <t>Association for Information Science &amp; Technology</t>
  </si>
  <si>
    <t xml:space="preserve">Tel:  301-495-0900 </t>
  </si>
  <si>
    <t>PLEASE ATTACH RECEIPTS FOR ALL EXPENSES GREATER THAN $5.  YOU WILL NOT BE REIMBURSED FOR EXPENSES WITHOUT A RECEIPT</t>
  </si>
  <si>
    <t>Meals</t>
  </si>
  <si>
    <t>Other (Explain below)</t>
  </si>
  <si>
    <t>Rental Car</t>
  </si>
  <si>
    <t>Taxi/Rideshare</t>
  </si>
  <si>
    <t>Subway/Bus</t>
  </si>
  <si>
    <t>Gas (rental car only)</t>
  </si>
  <si>
    <t>Airfare/Train</t>
  </si>
  <si>
    <t>For Accounting Dept. Use Only</t>
  </si>
  <si>
    <t>Please reimburse me by check mailed to this address:</t>
  </si>
  <si>
    <t>Outside US: Bank Wire Transfer Information</t>
  </si>
  <si>
    <t>Account #:</t>
  </si>
  <si>
    <t>Address on Acct:</t>
  </si>
  <si>
    <t>SWIFT Code:</t>
  </si>
  <si>
    <t>IBAN#:</t>
  </si>
  <si>
    <t>Other Code:</t>
  </si>
  <si>
    <t xml:space="preserve">Your Email: </t>
  </si>
  <si>
    <t>Branch:</t>
  </si>
  <si>
    <t>7.  Return form to ASIS&amp;T Accounting Department</t>
  </si>
  <si>
    <t>673 Potomac Station Drive | Suite 155 | Leesburg, VA USA</t>
  </si>
  <si>
    <t>POV (.7/mi)</t>
  </si>
  <si>
    <t>Michael Nasierowski</t>
  </si>
  <si>
    <t>ASIS&amp;T 2025 Annual Meeting</t>
  </si>
  <si>
    <t>November 14-18, 2025 in Crystal City, VA.</t>
  </si>
  <si>
    <t>390 West Mountain Road</t>
  </si>
  <si>
    <t>Queensbury, NY 12804</t>
  </si>
  <si>
    <t>Your Email: mnaz@albany.edu</t>
  </si>
  <si>
    <t>The Registration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</si>
</sst>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11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6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horizontal="centerContinuous"/>
    </xf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7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8" xfId="0" applyFont="1" applyBorder="1"/>
    <xf numFmtId="0" fontId="3" fillId="0" borderId="0" xfId="0" applyFont="1"/>
    <xf numFmtId="0" fontId="3" fillId="0" borderId="9" xfId="0" applyFont="1" applyBorder="1"/>
    <xf numFmtId="0" fontId="3" fillId="0" borderId="5" xfId="0" applyFont="1" applyBorder="1"/>
    <xf numFmtId="0" fontId="3" fillId="0" borderId="1" xfId="0" applyFont="1" applyBorder="1"/>
    <xf numFmtId="0" fontId="3" fillId="0" borderId="6" xfId="0" applyFont="1" applyBorder="1"/>
    <xf numFmtId="0" fontId="4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0" xfId="0" applyFont="1"/>
    <xf numFmtId="0" fontId="6" fillId="0" borderId="2" xfId="0" applyFont="1" applyBorder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7" xfId="0" applyFont="1" applyBorder="1"/>
    <xf numFmtId="0" fontId="1" fillId="0" borderId="3" xfId="0" applyFont="1" applyBorder="1"/>
    <xf numFmtId="0" fontId="4" fillId="0" borderId="10" xfId="0" applyFont="1" applyBorder="1"/>
    <xf numFmtId="0" fontId="0" fillId="0" borderId="11" xfId="0" applyBorder="1"/>
    <xf numFmtId="0" fontId="0" fillId="0" borderId="12" xfId="0" applyBorder="1"/>
    <xf numFmtId="44" fontId="0" fillId="0" borderId="2" xfId="1" applyFont="1" applyBorder="1"/>
    <xf numFmtId="16" fontId="6" fillId="0" borderId="2" xfId="0" applyNumberFormat="1" applyFont="1" applyBorder="1" applyAlignment="1">
      <alignment horizontal="center"/>
    </xf>
    <xf numFmtId="164" fontId="0" fillId="0" borderId="0" xfId="0" applyNumberFormat="1"/>
    <xf numFmtId="0" fontId="6" fillId="0" borderId="0" xfId="0" applyFont="1" applyAlignment="1">
      <alignment horizontal="center"/>
    </xf>
    <xf numFmtId="0" fontId="4" fillId="0" borderId="11" xfId="0" applyFont="1" applyBorder="1"/>
    <xf numFmtId="0" fontId="3" fillId="0" borderId="12" xfId="0" applyFont="1" applyBorder="1"/>
    <xf numFmtId="0" fontId="3" fillId="0" borderId="10" xfId="0" applyFont="1" applyBorder="1"/>
    <xf numFmtId="0" fontId="6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right"/>
    </xf>
    <xf numFmtId="0" fontId="6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right"/>
    </xf>
    <xf numFmtId="0" fontId="1" fillId="0" borderId="12" xfId="0" applyFont="1" applyBorder="1"/>
    <xf numFmtId="0" fontId="1" fillId="0" borderId="10" xfId="0" applyFont="1" applyBorder="1"/>
    <xf numFmtId="14" fontId="0" fillId="0" borderId="2" xfId="0" applyNumberFormat="1" applyBorder="1" applyProtection="1">
      <protection locked="0"/>
    </xf>
    <xf numFmtId="0" fontId="0" fillId="0" borderId="1" xfId="0" applyBorder="1" applyProtection="1"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164" fontId="0" fillId="0" borderId="14" xfId="0" applyNumberFormat="1" applyBorder="1" applyProtection="1">
      <protection locked="0"/>
    </xf>
    <xf numFmtId="49" fontId="0" fillId="0" borderId="15" xfId="0" applyNumberFormat="1" applyBorder="1" applyAlignment="1" applyProtection="1">
      <alignment horizontal="center"/>
      <protection locked="0"/>
    </xf>
    <xf numFmtId="49" fontId="0" fillId="0" borderId="16" xfId="0" applyNumberFormat="1" applyBorder="1" applyAlignment="1" applyProtection="1">
      <alignment horizontal="center"/>
      <protection locked="0"/>
    </xf>
    <xf numFmtId="0" fontId="0" fillId="0" borderId="17" xfId="0" applyBorder="1" applyProtection="1">
      <protection locked="0"/>
    </xf>
    <xf numFmtId="49" fontId="0" fillId="0" borderId="18" xfId="0" applyNumberFormat="1" applyBorder="1" applyAlignment="1" applyProtection="1">
      <alignment horizontal="center"/>
      <protection locked="0"/>
    </xf>
    <xf numFmtId="49" fontId="0" fillId="0" borderId="19" xfId="0" applyNumberFormat="1" applyBorder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0" xfId="0" applyAlignment="1" applyProtection="1">
      <alignment horizontal="right"/>
      <protection locked="0"/>
    </xf>
    <xf numFmtId="43" fontId="0" fillId="0" borderId="2" xfId="1" applyNumberFormat="1" applyFont="1" applyBorder="1" applyProtection="1">
      <protection locked="0"/>
    </xf>
    <xf numFmtId="43" fontId="0" fillId="0" borderId="2" xfId="0" applyNumberFormat="1" applyBorder="1" applyProtection="1">
      <protection locked="0"/>
    </xf>
    <xf numFmtId="44" fontId="0" fillId="0" borderId="2" xfId="0" applyNumberFormat="1" applyBorder="1"/>
    <xf numFmtId="44" fontId="0" fillId="0" borderId="0" xfId="0" applyNumberFormat="1"/>
    <xf numFmtId="44" fontId="0" fillId="0" borderId="0" xfId="1" applyFont="1" applyFill="1" applyBorder="1"/>
    <xf numFmtId="0" fontId="7" fillId="0" borderId="0" xfId="0" applyFont="1" applyAlignment="1">
      <alignment horizontal="left" wrapText="1"/>
    </xf>
    <xf numFmtId="0" fontId="9" fillId="0" borderId="0" xfId="0" applyFont="1"/>
    <xf numFmtId="0" fontId="9" fillId="0" borderId="3" xfId="0" applyFont="1" applyBorder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21" xfId="0" applyNumberFormat="1" applyBorder="1" applyAlignment="1" applyProtection="1">
      <alignment horizontal="left"/>
      <protection locked="0"/>
    </xf>
    <xf numFmtId="0" fontId="0" fillId="0" borderId="22" xfId="0" applyBorder="1" applyAlignment="1">
      <alignment horizontal="left" indent="1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/>
    </xf>
    <xf numFmtId="0" fontId="10" fillId="0" borderId="3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indent="1"/>
    </xf>
    <xf numFmtId="0" fontId="10" fillId="0" borderId="0" xfId="0" applyFont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14" fontId="0" fillId="0" borderId="1" xfId="0" applyNumberFormat="1" applyBorder="1" applyProtection="1"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7" Type="http://schemas.openxmlformats.org/officeDocument/2006/relationships/image" Target="../media/image3.png"/><Relationship Id="rId2" Type="http://schemas.openxmlformats.org/officeDocument/2006/relationships/customXml" Target="../ink/ink1.xml"/><Relationship Id="rId1" Type="http://schemas.openxmlformats.org/officeDocument/2006/relationships/hyperlink" Target="https://wordpressstorageaccount.blob.core.windows.net/wp-media/wp-content/uploads/sites/946/Final-ASIST-Travel-and-Expense-Guidelines.pdf" TargetMode="External"/><Relationship Id="rId6" Type="http://schemas.openxmlformats.org/officeDocument/2006/relationships/customXml" Target="../ink/ink3.xml"/><Relationship Id="rId5" Type="http://schemas.openxmlformats.org/officeDocument/2006/relationships/image" Target="../media/image2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91966</xdr:rowOff>
    </xdr:from>
    <xdr:to>
      <xdr:col>2</xdr:col>
      <xdr:colOff>407275</xdr:colOff>
      <xdr:row>5</xdr:row>
      <xdr:rowOff>657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9932B2-A8B0-2A58-9BA9-013AE72E6D04}"/>
            </a:ext>
          </a:extLst>
        </xdr:cNvPr>
        <xdr:cNvSpPr txBox="1"/>
      </xdr:nvSpPr>
      <xdr:spPr>
        <a:xfrm>
          <a:off x="0" y="91966"/>
          <a:ext cx="1642241" cy="729812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Please refer to the</a:t>
          </a:r>
          <a:r>
            <a:rPr lang="en-US" sz="800" u="sng">
              <a:solidFill>
                <a:srgbClr val="0000FF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ASIS&amp;T Travel &amp; Reimbursement Policy </a:t>
          </a:r>
          <a:r>
            <a:rPr lang="en-US" sz="8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 allowable expenses and documentation requirements.</a:t>
          </a:r>
        </a:p>
        <a:p>
          <a:endParaRPr lang="en-US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499324</xdr:colOff>
      <xdr:row>50</xdr:row>
      <xdr:rowOff>131141</xdr:rowOff>
    </xdr:from>
    <xdr:to>
      <xdr:col>1</xdr:col>
      <xdr:colOff>46364</xdr:colOff>
      <xdr:row>51</xdr:row>
      <xdr:rowOff>210485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DC5CABA9-C8B6-28D7-79C0-AA7DA8208D50}"/>
                </a:ext>
              </a:extLst>
            </xdr14:cNvPr>
            <xdr14:cNvContentPartPr/>
          </xdr14:nvContentPartPr>
          <xdr14:nvPr macro=""/>
          <xdr14:xfrm>
            <a:off x="499324" y="9406520"/>
            <a:ext cx="630919" cy="243568"/>
          </xdr14:xfrm>
        </xdr:contentPart>
      </mc:Choice>
      <mc:Fallback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DC5CABA9-C8B6-28D7-79C0-AA7DA8208D5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93206" y="9400404"/>
              <a:ext cx="643156" cy="25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131319</xdr:colOff>
      <xdr:row>51</xdr:row>
      <xdr:rowOff>18171</xdr:rowOff>
    </xdr:from>
    <xdr:to>
      <xdr:col>3</xdr:col>
      <xdr:colOff>61471</xdr:colOff>
      <xdr:row>51</xdr:row>
      <xdr:rowOff>255092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8EA28FDA-63B7-6035-86ED-91A8F148FA83}"/>
                </a:ext>
              </a:extLst>
            </xdr14:cNvPr>
            <xdr14:cNvContentPartPr/>
          </xdr14:nvContentPartPr>
          <xdr14:nvPr macro=""/>
          <xdr14:xfrm>
            <a:off x="1215198" y="9457774"/>
            <a:ext cx="777549" cy="236921"/>
          </xdr14:xfrm>
        </xdr:contentPart>
      </mc:Choice>
      <mc:Fallback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8EA28FDA-63B7-6035-86ED-91A8F148FA8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09078" y="9451662"/>
              <a:ext cx="789788" cy="2491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306975</xdr:colOff>
      <xdr:row>50</xdr:row>
      <xdr:rowOff>100436</xdr:rowOff>
    </xdr:from>
    <xdr:to>
      <xdr:col>4</xdr:col>
      <xdr:colOff>236483</xdr:colOff>
      <xdr:row>52</xdr:row>
      <xdr:rowOff>71470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C16FBC57-E96E-FE5F-3CFC-0DDA364EBA42}"/>
                </a:ext>
              </a:extLst>
            </xdr14:cNvPr>
            <xdr14:cNvContentPartPr/>
          </xdr14:nvContentPartPr>
          <xdr14:nvPr macro=""/>
          <xdr14:xfrm>
            <a:off x="2238251" y="9375815"/>
            <a:ext cx="612680" cy="424293"/>
          </xdr14:xfrm>
        </xdr:contentPart>
      </mc:Choice>
      <mc:Fallback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C16FBC57-E96E-FE5F-3CFC-0DDA364EBA42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232131" y="9369697"/>
              <a:ext cx="624919" cy="436529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4T07:10:04.8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0 615 24575,'1'-6'0,"1"1"0,0-1 0,1 1 0,0 0 0,0 0 0,1-1 0,0 1 0,0 1 0,10-10 0,7-8 0,35-44 0,-28 34 0,33-32 0,82-71 0,-39 52 0,-32 25 0,26-18 0,-91 71 0,-5 4 0,0-1 0,0 0 0,1 1 0,-1-1 0,1 1 0,5-3 0,-8 6 0,-1 0 0,1 0 0,-1 0 0,0 0 0,0-1 0,0 1 0,-1 0 0,-2 3 0,-49 54 0,-30 30 0,56-60 0,-27 37 0,-10 12 0,-48 53 0,105-124 0,6-6 0,0 0 0,0-1 0,1 1 0,-1 0 0,0 0 0,0 0 0,1 0 0,-1-1 0,1 1 0,-1 0 0,1 0 0,0 0 0,-1 1 0,2-2 0,-1 0 0,0 1 0,1-1 0,-1 0 0,0 0 0,1 0 0,-1 0 0,1 0 0,-1 0 0,0 0 0,1 0 0,-1 0 0,1 0 0,-1 0 0,0 0 0,1 0 0,-1-1 0,1 1 0,-1 0 0,0 0 0,1 0 0,-1 0 0,0 0 0,1 0 0,-1 0 0,0-1 0,1 1 0,-1 0 0,0 0 0,0 0 0,1-1 0,-1 1 0,13-7 0,2-3 0,0 0 0,16-15 0,2-2 0,-13 10 0,23-24 0,15-13 0,-42 41 0,15-19 0,10-9 0,-78 86 0,-9 7 0,-54 89 0,37-38 0,57-97 0,-3 6 0,8-12 0,1 0 0,0 1 0,-1-1 0,1 0 0,0 0 0,0 1 0,0-1 0,-1 0 0,1 1 0,0-1 0,0 0 0,0 1 0,0-1 0,0 1 0,0-1 0,0 0 0,0 1 0,0-1 0,0 0 0,1 1 0,-1-1 0,0 0 0,1 1 0,-1-1 0,1 0 0,0 0 0,0 0 0,0 0 0,-1 0 0,1 0 0,0 0 0,0 0 0,-1-1 0,1 1 0,0 0 0,0 0 0,-1 0 0,1-1 0,0 1 0,-1 0 0,1 0 0,-1-1 0,1 1 0,-1 0 0,2-1 0,15-9 0,-16 9 0,31-24 0,-28 21 0,1 0 0,-1 0 0,2 0 0,-1 1 0,1-1 0,11-5 0,-17 9 0,0 0 0,1 0 0,-1-1 0,0 1 0,0 0 0,1 0 0,-1 0 0,0 0 0,0 0 0,1 0 0,-1 0 0,0 0 0,1 0 0,-1 0 0,0 0 0,1 0 0,-1 0 0,0 0 0,1 0 0,-1 0 0,0 0 0,0 0 0,1 0 0,-1 0 0,0 0 0,1 0 0,-1 0 0,0 0 0,1 0 0,-1 0 0,0 0 0,0 0 0,1 0 0,-1 1 0,0-1 0,0 0 0,1 0 0,2 9 0,-6 10 0,2-18 0,0 1 0,0-1 0,1 1 0,-1 0 0,1 0 0,0-1 0,0 1 0,-1 0 0,2-1 0,-1 1 0,0 0 0,1 0 0,1 2 0,-1-3 0,0 0 0,0 0 0,0-1 0,0 1 0,0 0 0,0-1 0,0 1 0,0-1 0,1 1 0,-1-1 0,0 1 0,1-1 0,-1 1 0,1-1 0,-1 0 0,1 0 0,-1 1 0,1-1 0,-1 0 0,1 0 0,-1 0 0,1 0 0,-1 0 0,1 0 0,-1 0 0,4-1 0,0 0 0,1 0 0,-1 0 0,0-1 0,0 1 0,0-1 0,0 1 0,0-1 0,0 0 0,-1-1 0,1 1 0,-1 0 0,0-1 0,6-4 0,5-2 0,3-3 0,19-9 0,-31 18 0,0 0 0,-1 0 0,0-1 0,7-5 0,8-6 0,50-33 0,-66 46 0,-4 4 0,-6 8 0,-11 11 0,-28 34 0,8-4 0,17-20 0,19-31 0,1 0 0,0 0 0,0 1 0,0-1 0,-1 0 0,1 1 0,0-1 0,0 0 0,0 0 0,0 1 0,0-1 0,0 0 0,0 0 0,0 1 0,0-1 0,0 0 0,0 1 0,0-1 0,0 0 0,0 0 0,0 1 0,0-1 0,1 0 0,-1 0 0,0 1 0,0-1 0,0 0 0,1 0 0,-1 1 0,0-1 0,1 0 0,-1 0 0,0 1 0,1-1 0,0 0 0,0 0 0,1 1 0,-1-1 0,1 0 0,-1 1 0,1-1 0,0 0 0,-1 0 0,1 0 0,0 0 0,2 0 0,1 0 0,0 0 0,0-1 0,0 0 0,-1 1 0,1-1 0,8-2 0,-3 0 0,1 0 0,0 1 0,0 0 0,0 0 0,0 0 0,0 1 0,22-1 0,-26 2 0,-1 0 0,1 0 0,-1-1 0,0 0 0,1 0 0,-1 0 0,6-1 0,-17 5 0,0-1 0,0 1 0,0 1 0,-8 5 0,-2 3 0,0-4 0,9-6 0,8-6 0,3 0 0,0 0 0,1 1 0,9-6 0,3-2 0,52-36 0,-50 34 0,36-17 0,-32 18 0,25-16 0,41-27 0,42-30 0,-84 49 0,77-63 0,-90 67 0,-77 58 0,-30 31 0,-191 137 0,221-161 0,-52 52 0,77-70 0,-8 7 0,24-20 0,0-1 0,-1 1 0,1-1 0,0 1 0,1-1 0,-1 1 0,0 0 0,1-1 0,-1 1 0,1-1 0,0 1 0,0 3 0,0-5 0,0 0 0,0 0 0,0 0 0,0 1 0,0-1 0,1 0 0,-1 0 0,0 1 0,0-1 0,0 0 0,0 0 0,0 0 0,1 0 0,-1 1 0,0-1 0,0 0 0,0 0 0,1 0 0,-1 0 0,0 1 0,1-1 0,-1 0 0,0 0 0,0 0 0,1 0 0,-1 0 0,0 0 0,1 0 0,-1 1 0,0-1 0,1 0 0,-1 0 0,0 0 0,1 0 0,14-4 0,9-8 0,50-37 0,93-50 0,-136 81 0,-19 11 0,1 0 0,0 0 0,19-8 0,-31 15 0,-1 0 0,0 0 0,0 0 0,0 0 0,0 0 0,1 0 0,-1 0 0,0-1 0,0 1 0,0 0 0,1 0 0,-1 0 0,0 0 0,0 0 0,1 0 0,-1 0 0,0 0 0,0 0 0,1 0 0,-1 0 0,0 0 0,0 0 0,1 0 0,-1 0 0,0 0 0,0 0 0,1 0 0,-1 0 0,0 0 0,0 0 0,1 0 0,-1 0 0,0 0 0,0 0 0,0 0 0,1 0 0,-1 1 0,-3 5 0,-13 9 0,15-14 0,-101 93 0,70-62 0,-38 55 0,69-87 0,1 0 0,0 1 0,-1-1 0,1 1 0,-1-1 0,1 1 0,0-1 0,0 1 0,-1-1 0,1 1 0,0-1 0,0 1 0,0-1 0,0 1 0,0-1 0,0 1 0,0-1 0,0 1 0,0-1 0,1 1 0,-1-1 0,1 1 0,-1-1 0,1 1 0,-1-1 0,1 0 0,-1 0 0,1 0 0,0 0 0,-1 1 0,1-1 0,-1 0 0,1 0 0,0 0 0,-1 0 0,1 0 0,-1 0 0,1 0 0,0 0 0,-1 0 0,1 0 0,0 0 0,-1-1 0,2 1 0,3-1 0,0 0 0,-1 0 0,1-1 0,0 1 0,6-4 0,169-89 0,-116 60 0,-62 33 0,1 0 0,-1-1 0,0 1 0,0-1 0,0 1 0,0-1 0,0 1 0,-1-1 0,1 0 0,-1 1 0,0-1 0,2-2 0,-6 4 0,-5 4 0,-4 6 0,9-7 0,0 0 0,0 0 0,1-1 0,-1 1 0,1 1 0,-1 2 0,3-6 0,-1 0 0,1 0 0,0 1 0,0-1 0,0 0 0,0 0 0,0 1 0,0-1 0,0 0 0,0 0 0,0 0 0,0 1 0,0-1 0,1 0 0,-1 0 0,0 1 0,0-1 0,0 0 0,0 0 0,0 0 0,1 0 0,-1 1 0,0-1 0,0 0 0,1 0 0,-1 0 0,0 0 0,0 1 0,1-1 0,0 0 0,0 0 0,0 0 0,1 0 0,-1 0 0,0 0 0,1 0 0,-1 0 0,1 0 0,-1 0 0,0 0 0,1 0 0,-1 0 0,0-1 0,2 0 0,16-3 0,-1-1 0,30-13 0,-1 2 0,-12 3 0,-1-1 0,-1 0 0,-1-2 0,-1 0 0,33-23 0,-63 38 0,1 0 0,-1 0 0,0 0 0,1 0 0,-1 0 0,0-1 0,0 1 0,0 0 0,0 0 0,-1 0 0,1-1 0,0 1 0,-1 0 0,0 0 0,1-1 0,-1 1 0,0 0 0,0-1 0,0 1 0,0 0 0,0 0 0,-1-1 0,0-1 0,0 2 0,1 1 0,-1-1 0,0 0 0,1 0 0,-1 0 0,0 1 0,0-1 0,0 0 0,0 1 0,0-1 0,0 0 0,0 1 0,0-1 0,-1 1 0,1-1 0,0 1 0,-1 0 0,1-1 0,0 1 0,-1 0 0,1-1 0,-1 1 0,1 0 0,0 0 0,-1 0 0,1 0 0,-1 0 0,1 0 0,-1 0 0,1 0 0,-1 0 0,1 0 0,-3 1 0,0 0 0,0-1 0,0 1 0,0 0 0,0 0 0,0 0 0,1 1 0,-1-1 0,1 1 0,0-1 0,-6 4 0,-25 21 0,27-20 0,0-1 0,0 1 0,-11 5 0,11-6 0,1-1 0,0 1 0,0 0 0,-7 7 0,-4 4 0,-44 39 0,1 11 0,46-50 0,-10 19 0,8-13 0,-22 31-1365,35-49-5461</inkml:trace>
  <inkml:trace contextRef="#ctx0" brushRef="#br0" timeOffset="1313.97">730 323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4T07:12:50.3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140 398 24575,'0'-2'0,"1"0"0,-1 0 0,1 0 0,0 0 0,0 1 0,0-1 0,0 0 0,0 0 0,0 1 0,1-1 0,3-2 0,26-18 0,-8 6 0,146-125 0,-127 107 0,169-125 0,-208 157 0,-2 3 0,-5 6 0,-8 7 0,-44 40 0,7-9 0,-36 37-124,-113 90-488,97-87 589,71-62 392,-49 29 0,66-44-348,13-8-21,0 1 0,0-1 0,0 0 0,0 0 0,0 0 0,0 0 0,0 1 0,0-1 0,0 0 0,-1 0 0,1 0 0,0 0 0,0 0 0,0 0 0,0 1 0,-1-1 0,1 0 0,0 0 0,0 0 0,-1 0 0,1 0 0,0 0 0,0 0 0,0 0 0,-1 0 0,1 0 0,0 0 0,0 0 0,-1 0 0,1 0 0,0 0 0,0 0 0,-1 0 0,1 0 0,0 0 0,-1 0 0,1 0 0,0 0 0,-1 0 0,5-7 0,12-11 0,37-36 0,13-10 0,-17 20 0,-26 22 0,2 1 0,50-33 0,20-9 0,87-35 0,-180 97 0,16-7 0,-15 8 0,-10 7 0,-102 88 0,-24 26 0,56-49 0,-22 21 0,93-87 0,4-5 0,0 1 0,0 0 0,0 0 0,0 1 0,0-1 0,1 0 0,-1 0 0,1 1 0,0-1 0,-1 4 0,2-5 0,0-1 0,0 0 0,0 0 0,0 0 0,0 0 0,0 1 0,0-1 0,0 0 0,1 0 0,-1 0 0,0 0 0,0 1 0,0-1 0,0 0 0,0 0 0,1 0 0,-1 0 0,0 0 0,0 1 0,1-1 0,-1 0 0,0 0 0,0 0 0,0 0 0,1 0 0,-1 0 0,0 0 0,1 0 0,-1 0 0,0 0 0,0 0 0,1 1 0,-1-1 0,1 0 0,12-2 0,12-5 0,-1-3 0,-1-1 0,0-1 0,-2 0 0,22-15 0,6-4 0,21-17 0,-15 9 0,-71 56 0,-19 13 0,3-3 0,-53 57 0,62-58 0,9-14 0,11-10 0,0 0 0,0 0 0,1 1 0,-1-1 0,1 1 0,0-1 0,0 1 0,0-1 0,-1 5 0,3-6 0,0-1 0,0 0 0,0 0 0,0 1 0,1-1 0,-1 0 0,0 0 0,0 1 0,0-1 0,1 0 0,-1 0 0,0 0 0,1 1 0,-1-1 0,0 0 0,0 0 0,1 0 0,-1 0 0,1 1 0,-1-1 0,0 0 0,1 0 0,-1 0 0,0 0 0,1 0 0,-1 0 0,1 0 0,-1 0 0,1 0 0,-1 0 0,0 0 0,1 0 0,-1 0 0,1 0 0,-1 0 0,1 0 0,-1 0 0,0 0 0,1 0 0,-1 0 0,1 0 0,23-4 0,-21 4 0,14-4 0,-1 0 0,0 0 0,-1-1 0,1 0 0,-1 0 0,-1-1 0,20-11 0,-22 11 0,2-2 0,-13 10 0,-7 6 0,-9 11 0,6-9 0,0 1 0,1 1 0,1-1 0,-10 24 0,17-35 0,0 1 0,0-1 0,0 0 0,-1 1 0,1-1 0,0 1 0,1-1 0,-1 0 0,0 1 0,0-1 0,0 1 0,0-1 0,0 0 0,1 1 0,-1-1 0,0 0 0,0 1 0,1-1 0,-1 0 0,1 1 0,-1-1 0,0 0 0,1 1 0,-1-1 0,1 0 0,-1 1 0,2-1 0,0 1 0,-1-1 0,1 0 0,0 1 0,0-1 0,-1 0 0,1 1 0,0-1 0,0 0 0,0 0 0,2 0 0,2 0 0,0-1 0,1 1 0,-1-1 0,0 0 0,7-2 0,4-2 0,1-1 0,-1-1 0,26-13 0,-40 19 0,32-20 0,-34 20 0,1 0 0,-1 0 0,1 0 0,-1 0 0,1 0 0,-1 0 0,0-1 0,0 1 0,0 0 0,0-1 0,0 1 0,-1 0 0,1-1 0,-1 1 0,1-1 0,-1 1 0,0-3 0,0 4 0,0 0 0,0-1 0,0 1 0,0 0 0,0 0 0,0 0 0,0-1 0,0 1 0,0 0 0,-1 0 0,1 0 0,0 0 0,0-1 0,0 1 0,0 0 0,0 0 0,-1 0 0,1 0 0,0 0 0,0-1 0,-1 1 0,1 0 0,0 0 0,0 0 0,-1 0 0,1 0 0,0 0 0,0 0 0,-1 0 0,1 0 0,0 0 0,-1-1 0,1 1 0,-1 0 0,-9 5 0,-9 11 0,16-13 0,-6 5 0,0 0 0,1 0 0,-10 16 0,12-18 0,5-4 0,-1 0 0,1 0 0,-1-1 0,1 1 0,0 0 0,-1 4 0,2-6 0,0 1 0,0-1 0,0 0 0,0 0 0,0 0 0,0 1 0,0-1 0,0 0 0,1 0 0,-1 0 0,0 1 0,0-1 0,0 0 0,0 0 0,1 0 0,-1 1 0,0-1 0,0 0 0,0 0 0,1 0 0,-1 0 0,0 1 0,0-1 0,1 0 0,-1 0 0,0 0 0,1 0 0,17 0 0,-1-3 0,1-1 0,-1 0 0,29-10 0,25-7 0,-38 13 0,-1-1 0,51-20 0,-74 25 0,-12 5 0,-16 7 0,-52 40 0,26-17 0,53-36 0,44-27 0,45-11 0,-45 20 0,-34 14 0,-13 7 0,0-1 0,0 1 0,0 0 0,1-1 0,-1 2 0,1-1 0,9-2 0,-39 24 0,-15 7 0,-56 50 0,80-64 0,3-2 0,0 0 0,-10 16 0,21-27 0,1 0 0,0 0 0,0 0 0,-1 1 0,1-1 0,0 0 0,0 0 0,0 0 0,0 1 0,0-1 0,-1 0 0,1 0 0,0 1 0,0-1 0,0 0 0,0 0 0,0 1 0,0-1 0,0 0 0,0 0 0,0 0 0,1 1 0,-1-1 0,0 0 0,0 0 0,0 1 0,0-1 0,9-2 0,10-8 0,50-40 0,113-64 0,-34 24 0,-120 73 0,17-11 0,-8 6 0,53-41 0,-75 52 0,29-17 0,-28 18 0,-1 0 0,19-15 0,-22 16 0,-10 8 0,1-1 0,-1 1 0,0-1 0,1 0 0,-1 0 0,-1 1 0,1-1 0,0 0 0,-1 0 0,1 0 0,-1 0 0,2-4 0,-3 5 0,-1 1 0,1 0 0,0-1 0,0 1 0,0 0 0,0 0 0,0-1 0,0 1 0,0 0 0,0 0 0,-1-1 0,1 1 0,0 0 0,0 0 0,-1 0 0,1-1 0,0 1 0,0 0 0,-1 0 0,1 0 0,0-1 0,-1 1 0,1 0 0,-1 0 0,1 0 0,0 0 0,-1 0 0,1 0 0,-1 0 0,0-1 0,-16 2 0,-13 7 0,15-2 0,0 1 0,0 0 0,-13 10 0,7-5 0,-13 9 0,-48 38 0,25-17 0,27-17 0,1 0 0,-38 44 0,39-39 0,21-22 0,-3 1 0,1 1 0,1 0 0,0 0 0,2 0 0,-8 16 0,13-25 0,1 0 0,-1-1 0,1 1 0,0 0 0,0-1 0,0 1 0,0 0 0,-1-1 0,1 1 0,1 0 0,-1-1 0,0 1 0,0 0 0,0-1 0,1 1 0,-1 0 0,0-1 0,1 1 0,-1-1 0,1 1 0,-1 0 0,1-1 0,-1 1 0,1-1 0,0 1 0,-1-1 0,1 1 0,0-1 0,0 1 0,1-1 0,0 1 0,-1-1 0,1 0 0,0 0 0,0 0 0,-1 0 0,1 0 0,0 0 0,-1 0 0,1 0 0,0-1 0,0 1 0,-1 0 0,1-1 0,-1 1 0,1 0 0,0-1 0,-1 1 0,2-2 0,28-11 0,-2-1 0,-1 0 0,37-25 0,-52 31 0,66-33 0,-78 40 0,12-7 0,-12 8 0,-1 0 0,1-1 0,-1 1 0,0 0 0,1 0 0,-1-1 0,1 1 0,-1 0 0,0 0 0,0-1 0,1 1 0,-1 0 0,0 0 0,0-1 0,0 1 0,1 0 0,-1-1 0,0 1 0,0 0 0,0-1 0,0 1 0,0 0 0,0-1 0,-3 1 0,0 1 0,1 0 0,-1 0 0,0 0 0,1 0 0,0 1 0,-1-1 0,1 0 0,0 1 0,-3 1 0,3-2 0,-15 10 0,1 0 0,-25 24 0,20-18 0,15-13 0,0 0 0,1 1 0,-6 5 0,-4 4 0,-6 7 0,20-20 0,0 0 0,0 0 0,0 0 0,1 1 0,-1-1 0,0 0 0,1 0 0,0 0 0,-1 0 0,1 1 0,0-1 0,0 0 0,0 0 0,1 3 0,0-3 0,0-1 0,0 1 0,0 0 0,0 0 0,0-1 0,0 1 0,0-1 0,1 1 0,-1 0 0,0-1 0,1 1 0,-1-1 0,0 0 0,1 1 0,-1-1 0,1 0 0,0 1 0,-1-1 0,1 0 0,-1 0 0,1 0 0,-1 0 0,1 0 0,2 0 0,3 0 0,-1 0 0,1 0 0,0-1 0,9-1 0,183-30 0,-29 4 0,-144 24 0,0-1 0,0 0 0,27-8 0,-97 24 0,17 1 0,0 1 0,-41 26 0,66-38 0,0 1 0,1-1 0,-1 0 0,1 0 0,-1 1 0,1-1 0,0 0 0,0 1 0,0-1 0,0 0 0,0 1 0,-1 2 0,2-4 0,0 0 0,0 1 0,0-1 0,0 0 0,0 0 0,0 1 0,0-1 0,0 0 0,1 1 0,-1-1 0,0 0 0,0 0 0,0 1 0,1-1 0,-1 0 0,0 1 0,0-1 0,1 0 0,-1 0 0,0 0 0,1 1 0,-1-1 0,0 0 0,1 1 0,1-1 0,-1 0 0,0 0 0,0 1 0,0-1 0,1 0 0,-1 0 0,0 0 0,1 0 0,-1 0 0,0 0 0,0 0 0,1 0 0,1 0 0,18-3 0,0-1 0,32-8 0,0 0 0,-15 6 0,0 1 0,1 1 0,0 1 0,0 0 0,49 3 0,-76-1 0,-6 2 0,-16 3 0,-45 14 0,42-14 0,-1 0 0,1 1 0,0 0 0,0 0 0,1 1 0,-17 10 0,68-32 0,30-19 0,-42 22-1365,-23 9-5461</inkml:trace>
  <inkml:trace contextRef="#ctx0" brushRef="#br0" timeOffset="621.04">821 300 24575,'0'0'-8191</inkml:trace>
  <inkml:trace contextRef="#ctx0" brushRef="#br0" timeOffset="1320">2159 428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4T07:13:22.2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205 158 24575,'-1'21'0,"-1"0"0,-8 37 0,1-11 0,-15 114 0,22-149 0,-18 87 0,11-42 128,4-19-1621,3-29-5333</inkml:trace>
  <inkml:trace contextRef="#ctx0" brushRef="#br0" timeOffset="740.75">570 12 24575,'0'11'0,"-1"-1"0,-1 0 0,1 1 0,-2-1 0,0 0 0,0 0 0,-5 10 0,-36 67 0,21-46 0,-38 71 0,-9 19 0,20-33 0,-35 72 0,16-31 0,-14 26 0,62-120 0,16-33 0,0 0 0,-14 22 0,9-15-1365,6-10-5461</inkml:trace>
  <inkml:trace contextRef="#ctx0" brushRef="#br0" timeOffset="2124.71">485 438 24575,'6'-1'0,"0"-1"0,0 0 0,0 0 0,0 0 0,0-1 0,-1 0 0,1 0 0,-1 0 0,7-6 0,5-2 0,9-7 0,16-12 0,-40 29 0,1 0 0,-1 0 0,0 0 0,0 0 0,1 0 0,-1 1 0,0-1 0,1 1 0,-1-1 0,0 1 0,1 0 0,-1 0 0,1 0 0,-1 0 0,0 0 0,5 2 0,-6-2 0,1 1 0,-1 0 0,0 0 0,0 0 0,1 0 0,-1 1 0,0-1 0,0 0 0,0 1 0,0-1 0,-1 0 0,1 1 0,0-1 0,0 1 0,-1-1 0,1 1 0,-1-1 0,0 1 0,1-1 0,-1 1 0,0 0 0,0-1 0,0 1 0,0 0 0,0-1 0,0 1 0,0-1 0,-2 4 0,1 3 0,0 0 0,-1-1 0,0 1 0,-5 11 0,-7 9 0,-27 39 0,32-51 0,-2-1 0,1-1 0,-2 0 0,0 0 0,0-1 0,-21 16 0,33-28 0,-1-1 0,1 0 0,0 1 0,0-1 0,-1 0 0,1 0 0,0 1 0,-1-1 0,1 0 0,0 0 0,-1 0 0,1 1 0,-1-1 0,1 0 0,0 0 0,-1 0 0,1 0 0,-1 0 0,1 0 0,0 0 0,-1 0 0,1 0 0,-1 0 0,1 0 0,0 0 0,-1 0 0,1 0 0,-1 0 0,1 0 0,0-1 0,-1 1 0,1 0 0,-1 0 0,1 0 0,0-1 0,-1 1 0,1 0 0,0 0 0,0-1 0,-1 1 0,1 0 0,0-1 0,0 1 0,-1 0 0,1-1 0,0 1 0,0 0 0,0-1 0,-1 1 0,1-1 0,0 1 0,0 0 0,0-1 0,0 1 0,0-1 0,0 1 0,0 0 0,0-1 0,0 1 0,0-1 0,0 1 0,0 0 0,0-1 0,0 1 0,1-1 0,-1-2 0,0 0 0,1 0 0,-1 0 0,1 0 0,0 0 0,0 0 0,2-5 0,0 2 0,1 0 0,1 0 0,-1 1 0,1 0 0,0-1 0,0 2 0,9-8 0,-12 11 0,-1 0 0,0 0 0,1 1 0,-1-1 0,1 0 0,-1 0 0,1 1 0,-1-1 0,1 1 0,-1 0 0,1-1 0,0 1 0,-1 0 0,1 0 0,0 0 0,-1 0 0,1 0 0,-1 0 0,1 1 0,0-1 0,-1 0 0,1 1 0,-1-1 0,1 1 0,-1 0 0,1-1 0,-1 1 0,0 0 0,1 0 0,-1 0 0,0 0 0,1 0 0,-1 0 0,0 0 0,0 1 0,0-1 0,0 0 0,1 3 0,0-1-114,0 0 1,0 0-1,0-1 0,-1 1 0,1 1 1,-1-1-1,0 0 0,0 0 0,0 0 1,0 1-1,0 5 0</inkml:trace>
  <inkml:trace contextRef="#ctx0" brushRef="#br0" timeOffset="3399.76">838 256 24575,'-1'0'0,"0"0"0,0 0 0,1 0 0,-1 0 0,0 1 0,0-1 0,1 0 0,-1 1 0,0-1 0,0 0 0,1 1 0,-1-1 0,0 1 0,1-1 0,-1 1 0,0-1 0,1 1 0,-1 0 0,1-1 0,-1 1 0,1 0 0,0-1 0,-1 1 0,1 0 0,-1 0 0,1-1 0,0 1 0,0 0 0,0 0 0,-1-1 0,1 1 0,0 0 0,0 1 0,0-1 0,0 0 0,0-1 0,0 1 0,0 0 0,1-1 0,-1 1 0,0-1 0,0 1 0,1 0 0,-1-1 0,0 1 0,0-1 0,1 1 0,-1-1 0,1 1 0,-1-1 0,1 1 0,-1-1 0,0 1 0,1-1 0,0 0 0,-1 1 0,1-1 0,-1 0 0,1 1 0,-1-1 0,1 0 0,0 0 0,-1 1 0,1-1 0,-1 0 0,1 0 0,0 0 0,-1 0 0,1 0 0,0 0 0,-1 0 0,1 0 0,0 0 0,-1 0 0,1-1 0,-1 1 0,1 0 0,0 0 0,-1 0 0,1-1 0,0 1 0,8-4 0,22-5 0,-30 9 0,-1 0 0,1 0 0,-1 0 0,1 0 0,-1 0 0,0 0 0,1 0 0,-1 0 0,1 0 0,-1 0 0,0 0 0,1 0 0,-1 0 0,1 1 0,-1-1 0,0 0 0,1 0 0,-1 0 0,0 1 0,1-1 0,-1 0 0,0 1 0,0-1 0,1 1 0,-1 0 0,1-1 0,-1 1 0,0 0 0,0 0 0,0 0 0,0 0 0,0 0 0,0-1 0,0 1 0,-1 0 0,1 0 0,0 0 0,0 0 0,-1-1 0,1 1 0,0 0 0,-1 1 0,-3 4 0,-1 1 0,1-1 0,-1 1 0,0-1 0,-1-1 0,1 1 0,-1-1 0,-13 9 0,-16 16 0,21-20 0,12-9 0,0-1 0,1 1 0,-1 0 0,0 0 0,1 0 0,-1 0 0,1 1 0,0-1 0,-1 0 0,1 1 0,0-1 0,0 1 0,0-1 0,-2 3 0,3-3 0,1-1 0,-1 1 0,0-1 0,0 1 0,1-1 0,-1 1 0,0-1 0,1 0 0,-1 1 0,0-1 0,1 1 0,-1-1 0,0 0 0,1 1 0,-1-1 0,1 0 0,-1 0 0,1 1 0,-1-1 0,1 0 0,-1 0 0,1 0 0,-1 1 0,1-1 0,-1 0 0,1 0 0,-1 0 0,1 0 0,0 0 0,-1 0 0,1 0 0,21 1 0,-20-1 0,17-2 0,-17 1 0,1 1 0,-1 0 0,0-1 0,1 1 0,-1 0 0,0 0 0,0 0 0,1 1 0,1 0 0,-3-1 0,0 1 0,0-1 0,-1 1 0,1-1 0,0 1 0,-1-1 0,1 1 0,-1 0 0,1 0 0,-1-1 0,1 1 0,-1 0 0,1 0 0,-1-1 0,1 1 0,-1 0 0,0 0 0,0 0 0,0 0 0,1 0 0,-1-1 0,0 1 0,0 0 0,0 0 0,0 0 0,0 0 0,0 0 0,-1 0 0,1 0 0,-1 4 0,0-1 0,0 0 0,0 0 0,0 0 0,-1-1 0,0 1 0,0 0 0,0-1 0,0 1 0,0-1 0,-1 1 0,0-1 0,1 0 0,-1 0 0,-5 3 0,-12 17 0,-24 17 0,22-18 0,19-20 0,0-1 0,1 1 0,0 0 0,-1 0 0,1 0 0,0 0 0,0 1 0,0-1 0,0 1 0,1-1 0,-1 1 0,1 0 0,-1-1 0,1 1 0,-1 3 0,2-3-1365</inkml:trace>
  <inkml:trace contextRef="#ctx0" brushRef="#br0" timeOffset="3928.26">1422 0 24575,'-1'13'0,"-1"0"0,0 0 0,-1-1 0,-1 1 0,0-1 0,0 0 0,-1 0 0,-12 20 0,-11 31 0,11-23 0,-38 65 0,28-56 0,-107 209 0,29-73 0,61-111 0,-72 128 0,108-189 0,5-9 0,0 0 0,1 0 0,-1 0 0,1 1 0,0-1 0,0 1 0,0-1 0,1 1 0,-2 6 0,8-15-1365,-2-3-5461</inkml:trace>
  <inkml:trace contextRef="#ctx0" brushRef="#br0" timeOffset="5045.95">1252 487 24575,'9'0'0,"0"-1"0,0 0 0,0 0 0,0-1 0,0 0 0,-1 0 0,1-1 0,-1 0 0,1-1 0,7-4 0,-14 7 0,0 0 0,-1 0 0,1 0 0,0 0 0,-1 0 0,1 1 0,0-1 0,0 1 0,0-1 0,-1 1 0,1-1 0,0 1 0,0 0 0,0 0 0,0 0 0,0 0 0,0 0 0,0 1 0,-1-1 0,1 1 0,0-1 0,0 1 0,0-1 0,-1 1 0,1 0 0,0 0 0,-1 0 0,1 0 0,-1 0 0,1 0 0,-1 1 0,1-1 0,-1 0 0,2 2 0,-1 2 0,1-1 0,-1 1 0,0-1 0,0 1 0,-1 0 0,1 0 0,-1 0 0,0 0 0,-1 0 0,1 0 0,-1 9 0,-1 0 0,0 0 0,-2-1 0,1 1 0,-2-1 0,0 0 0,0 0 0,-1 0 0,-1 0 0,0-1 0,-1 0 0,0 0 0,-1-1 0,0 0 0,-1 0 0,-17 17 0,25-28 0,1 0 0,0 0 0,0 1 0,0-1 0,0 0 0,0 0 0,0 0 0,0 0 0,-1 0 0,1 0 0,0 0 0,0 1 0,0-1 0,0 0 0,0 0 0,-1 0 0,1 0 0,0 0 0,0 0 0,0 0 0,0 0 0,-1 0 0,1 0 0,0 0 0,0 0 0,0 0 0,0 0 0,-1 0 0,1 0 0,0 0 0,0 0 0,0 0 0,0 0 0,-1 0 0,1 0 0,0-1 0,0 1 0,0 0 0,0 0 0,0 0 0,-1 0 0,1 0 0,0 0 0,0 0 0,0-1 0,0 1 0,-3-11 0,2-19 0,1 27 0,0 0 0,0 0 0,0 0 0,0 0 0,1 0 0,-1 0 0,1 0 0,-1 0 0,1 1 0,0-1 0,0 0 0,1 0 0,1-3 0,-2 5 0,0 0 0,1-1 0,0 1 0,-1 0 0,1 0 0,0 0 0,-1 0 0,1 1 0,0-1 0,0 0 0,0 1 0,0-1 0,0 1 0,0 0 0,0-1 0,0 1 0,0 0 0,0 0 0,3 1 0,-1-1-33,1 0-1,0 1 0,0 0 1,0 0-1,-1 0 0,1 0 1,-1 1-1,1 0 0,-1 0 1,1 0-1,-1 0 0,0 1 1,0 0-1,0 0 0,0 0 1,-1 0-1,1 0 0,4 7 1,2-1-693,-4-3-6100</inkml:trace>
  <inkml:trace contextRef="#ctx0" brushRef="#br0" timeOffset="5859.88">1702 341 24575,'-2'9'0,"0"1"0,0-1 0,0 1 0,-1-1 0,-1 0 0,0 0 0,0 0 0,-7 9 0,0 4 0,-18 34 0,-45 62 0,59-96 0,-15 22 0,1 0 0,-34 76 0,62-117 0,0-1 0,0 0 0,0 1 0,0-1 0,0 1 0,1-1 0,-1 1 0,1-1 0,0 1 0,0-1 0,0 1 0,0-1 0,0 1 0,0-1 0,1 1 0,-1-1 0,2 5 0,0-5 0,-1-1 0,0 1 0,0-1 0,1 1 0,-1-1 0,1 0 0,-1 0 0,1 0 0,0 0 0,-1 0 0,1 0 0,0 0 0,0 0 0,0-1 0,0 1 0,-1-1 0,1 1 0,0-1 0,0 0 0,0 0 0,0 0 0,0 0 0,2 0 0,3 0 0,-1 0 0,1-1 0,-1 0 0,1 0 0,-1 0 0,0-1 0,0 1 0,1-2 0,10-4 0,-8 1 0,0 0 0,0-1 0,-1 0 0,0 0 0,8-10 0,-7 7 0,0 0 0,-1-1 0,10-17 0,-15 24 0,-1 0 0,0 0 0,0 0 0,0-1 0,-1 1 0,1-1 0,-1 1 0,0-1 0,0 1 0,-1-1 0,1 1 0,-1-1 0,-1-7 0,0 9 0,0 1 0,0 0 0,0 0 0,-1 0 0,1-1 0,-1 1 0,0 1 0,1-1 0,-1 0 0,0 0 0,0 1 0,0-1 0,0 1 0,0-1 0,-1 1 0,1 0 0,0 0 0,0 0 0,-1 0 0,1 0 0,-1 1 0,1-1 0,-5 1 0,0-2 0,0 1 0,0 0 0,0 1 0,0 0 0,-1 0 0,1 0 0,-11 3 0,-17 7 0,33-9-1365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69D1-B0FF-479A-89C0-41FDBC7D1CA4}">
  <sheetPr>
    <pageSetUpPr fitToPage="1"/>
  </sheetPr>
  <dimension ref="A1:L61"/>
  <sheetViews>
    <sheetView showZeros="0" tabSelected="1" zoomScale="145" zoomScaleNormal="145" workbookViewId="0">
      <selection activeCell="O51" sqref="O51"/>
    </sheetView>
  </sheetViews>
  <sheetFormatPr defaultRowHeight="12.75" x14ac:dyDescent="0.2"/>
  <cols>
    <col min="1" max="1" width="16.28515625" customWidth="1"/>
    <col min="2" max="2" width="2.28515625" customWidth="1"/>
    <col min="3" max="3" width="10.42578125" bestFit="1" customWidth="1"/>
    <col min="4" max="10" width="10.28515625" customWidth="1"/>
    <col min="11" max="11" width="8.140625" customWidth="1"/>
    <col min="12" max="12" width="6.85546875" bestFit="1" customWidth="1"/>
  </cols>
  <sheetData>
    <row r="1" spans="1:12" x14ac:dyDescent="0.2">
      <c r="A1" s="74" t="s">
        <v>35</v>
      </c>
      <c r="B1" s="74"/>
      <c r="C1" s="74"/>
      <c r="D1" s="74"/>
      <c r="E1" s="74"/>
      <c r="F1" s="74"/>
      <c r="G1" s="74"/>
      <c r="H1" s="74"/>
      <c r="I1" s="74"/>
      <c r="J1" s="74"/>
      <c r="K1" s="1"/>
      <c r="L1" s="1"/>
    </row>
    <row r="2" spans="1:12" s="22" customFormat="1" x14ac:dyDescent="0.2">
      <c r="A2" s="75" t="s">
        <v>36</v>
      </c>
      <c r="B2" s="75"/>
      <c r="C2" s="75"/>
      <c r="D2" s="75"/>
      <c r="E2" s="75"/>
      <c r="F2" s="75"/>
      <c r="G2" s="75"/>
      <c r="H2" s="75"/>
      <c r="I2" s="75"/>
      <c r="J2" s="75"/>
      <c r="K2" s="21"/>
      <c r="L2" s="21"/>
    </row>
    <row r="3" spans="1:12" s="22" customFormat="1" x14ac:dyDescent="0.2">
      <c r="A3" s="75" t="s">
        <v>57</v>
      </c>
      <c r="B3" s="75"/>
      <c r="C3" s="75"/>
      <c r="D3" s="75"/>
      <c r="E3" s="75"/>
      <c r="F3" s="75"/>
      <c r="G3" s="75"/>
      <c r="H3" s="75"/>
      <c r="I3" s="75"/>
      <c r="J3" s="75"/>
      <c r="K3" s="21"/>
      <c r="L3" s="21"/>
    </row>
    <row r="4" spans="1:12" s="22" customFormat="1" x14ac:dyDescent="0.2">
      <c r="A4" s="75" t="s">
        <v>37</v>
      </c>
      <c r="B4" s="75"/>
      <c r="C4" s="75"/>
      <c r="D4" s="75"/>
      <c r="E4" s="75"/>
      <c r="F4" s="75"/>
      <c r="G4" s="75"/>
      <c r="H4" s="75"/>
      <c r="I4" s="75"/>
      <c r="J4" s="75"/>
      <c r="K4" s="21"/>
      <c r="L4" s="21"/>
    </row>
    <row r="5" spans="1:12" s="22" customFormat="1" x14ac:dyDescent="0.2"/>
    <row r="6" spans="1:12" ht="18" customHeight="1" x14ac:dyDescent="0.2">
      <c r="A6" t="s">
        <v>0</v>
      </c>
      <c r="C6" s="76" t="s">
        <v>59</v>
      </c>
      <c r="D6" s="76"/>
      <c r="E6" s="76"/>
      <c r="F6" s="76"/>
      <c r="G6" s="76"/>
      <c r="H6" s="55" t="s">
        <v>34</v>
      </c>
      <c r="I6" s="77">
        <v>46045</v>
      </c>
      <c r="J6" s="46"/>
    </row>
    <row r="7" spans="1:12" ht="18" customHeight="1" x14ac:dyDescent="0.2">
      <c r="A7" t="s">
        <v>1</v>
      </c>
      <c r="C7" s="76" t="s">
        <v>60</v>
      </c>
      <c r="D7" s="76"/>
      <c r="E7" s="76"/>
      <c r="F7" s="76"/>
      <c r="G7" s="76"/>
      <c r="H7" s="76"/>
      <c r="I7" s="76"/>
      <c r="J7" s="76"/>
    </row>
    <row r="8" spans="1:12" ht="18" customHeight="1" x14ac:dyDescent="0.2">
      <c r="A8" t="s">
        <v>2</v>
      </c>
      <c r="C8" s="78" t="s">
        <v>61</v>
      </c>
      <c r="D8" s="78"/>
      <c r="E8" s="78"/>
      <c r="F8" s="78"/>
      <c r="G8" s="78"/>
      <c r="H8" s="78"/>
      <c r="I8" s="78"/>
      <c r="J8" s="78"/>
    </row>
    <row r="9" spans="1:12" ht="25.5" customHeight="1" x14ac:dyDescent="0.2">
      <c r="A9" s="62" t="s">
        <v>47</v>
      </c>
      <c r="E9" s="5"/>
      <c r="F9" s="63" t="s">
        <v>48</v>
      </c>
      <c r="G9" s="64"/>
      <c r="H9" s="64"/>
      <c r="I9" s="64"/>
      <c r="J9" s="64"/>
    </row>
    <row r="10" spans="1:12" x14ac:dyDescent="0.2">
      <c r="A10" s="68" t="s">
        <v>59</v>
      </c>
      <c r="B10" s="68"/>
      <c r="C10" s="68"/>
      <c r="D10" s="68"/>
      <c r="E10" s="68"/>
      <c r="F10" s="70" t="s">
        <v>52</v>
      </c>
      <c r="G10" s="67"/>
      <c r="H10" s="67"/>
      <c r="I10" s="67"/>
      <c r="J10" s="67"/>
    </row>
    <row r="11" spans="1:12" x14ac:dyDescent="0.2">
      <c r="A11" s="68" t="s">
        <v>62</v>
      </c>
      <c r="B11" s="68"/>
      <c r="C11" s="68"/>
      <c r="D11" s="68"/>
      <c r="E11" s="68"/>
      <c r="F11" s="70" t="s">
        <v>51</v>
      </c>
      <c r="G11" s="67"/>
      <c r="H11" s="67"/>
      <c r="I11" s="67"/>
      <c r="J11" s="67"/>
    </row>
    <row r="12" spans="1:12" x14ac:dyDescent="0.2">
      <c r="A12" s="68" t="s">
        <v>63</v>
      </c>
      <c r="B12" s="68"/>
      <c r="C12" s="68"/>
      <c r="D12" s="68"/>
      <c r="E12" s="68"/>
      <c r="F12" s="66" t="s">
        <v>53</v>
      </c>
      <c r="G12" s="67"/>
      <c r="H12" s="67"/>
      <c r="I12" s="67"/>
      <c r="J12" s="67"/>
    </row>
    <row r="13" spans="1:12" x14ac:dyDescent="0.2">
      <c r="A13" s="68"/>
      <c r="B13" s="68"/>
      <c r="C13" s="68"/>
      <c r="D13" s="68"/>
      <c r="E13" s="68"/>
      <c r="F13" s="66" t="s">
        <v>49</v>
      </c>
      <c r="G13" s="67"/>
      <c r="H13" s="67"/>
      <c r="I13" s="67"/>
      <c r="J13" s="67"/>
    </row>
    <row r="14" spans="1:12" x14ac:dyDescent="0.2">
      <c r="A14" s="68"/>
      <c r="B14" s="68"/>
      <c r="C14" s="68"/>
      <c r="D14" s="68"/>
      <c r="E14" s="68"/>
      <c r="F14" s="66" t="s">
        <v>55</v>
      </c>
      <c r="G14" s="67"/>
      <c r="H14" s="67"/>
      <c r="I14" s="67"/>
      <c r="J14" s="67"/>
    </row>
    <row r="15" spans="1:12" x14ac:dyDescent="0.2">
      <c r="A15" s="68"/>
      <c r="B15" s="68"/>
      <c r="C15" s="68"/>
      <c r="D15" s="68"/>
      <c r="E15" s="68"/>
      <c r="F15" s="70" t="s">
        <v>50</v>
      </c>
      <c r="G15" s="67"/>
      <c r="H15" s="67"/>
      <c r="I15" s="67"/>
      <c r="J15" s="67"/>
    </row>
    <row r="16" spans="1:12" x14ac:dyDescent="0.2">
      <c r="A16" s="68"/>
      <c r="B16" s="68"/>
      <c r="C16" s="68"/>
      <c r="D16" s="68"/>
      <c r="E16" s="68"/>
      <c r="F16" s="70"/>
      <c r="G16" s="67"/>
      <c r="H16" s="67"/>
      <c r="I16" s="67"/>
      <c r="J16" s="67"/>
    </row>
    <row r="17" spans="1:11" x14ac:dyDescent="0.2">
      <c r="A17" s="68" t="s">
        <v>64</v>
      </c>
      <c r="B17" s="68"/>
      <c r="C17" s="68"/>
      <c r="D17" s="68"/>
      <c r="E17" s="68"/>
      <c r="F17" s="66" t="s">
        <v>54</v>
      </c>
      <c r="G17" s="67"/>
      <c r="H17" s="67"/>
      <c r="I17" s="67"/>
      <c r="J17" s="67"/>
    </row>
    <row r="18" spans="1:11" ht="17.100000000000001" customHeight="1" x14ac:dyDescent="0.2"/>
    <row r="19" spans="1:11" ht="17.100000000000001" customHeight="1" x14ac:dyDescent="0.2">
      <c r="A19" s="20" t="s">
        <v>3</v>
      </c>
      <c r="B19" s="20"/>
      <c r="C19" s="1"/>
      <c r="D19" s="1"/>
      <c r="E19" s="1"/>
      <c r="F19" s="1"/>
      <c r="G19" s="1"/>
      <c r="H19" s="1"/>
      <c r="I19" s="1"/>
      <c r="J19" s="1"/>
    </row>
    <row r="21" spans="1:11" s="24" customFormat="1" ht="12" x14ac:dyDescent="0.2">
      <c r="A21" s="41" t="s">
        <v>25</v>
      </c>
      <c r="B21" s="39"/>
      <c r="C21" s="33" t="s">
        <v>30</v>
      </c>
      <c r="D21" s="33" t="s">
        <v>31</v>
      </c>
      <c r="E21" s="33" t="s">
        <v>29</v>
      </c>
      <c r="F21" s="33" t="s">
        <v>28</v>
      </c>
      <c r="G21" s="33" t="s">
        <v>32</v>
      </c>
      <c r="H21" s="33" t="s">
        <v>31</v>
      </c>
      <c r="I21" s="23" t="s">
        <v>33</v>
      </c>
      <c r="J21" s="23" t="s">
        <v>4</v>
      </c>
      <c r="K21" s="35"/>
    </row>
    <row r="22" spans="1:11" ht="17.100000000000001" customHeight="1" x14ac:dyDescent="0.2">
      <c r="A22" s="42" t="s">
        <v>5</v>
      </c>
      <c r="B22" s="40"/>
      <c r="C22" s="45"/>
      <c r="D22" s="45"/>
      <c r="E22" s="45"/>
      <c r="F22" s="45"/>
      <c r="G22" s="45"/>
      <c r="H22" s="45"/>
      <c r="I22" s="45"/>
      <c r="J22" s="4"/>
    </row>
    <row r="23" spans="1:11" ht="17.100000000000001" customHeight="1" x14ac:dyDescent="0.2">
      <c r="A23" s="38" t="s">
        <v>45</v>
      </c>
      <c r="B23" s="37"/>
      <c r="C23" s="56"/>
      <c r="D23" s="56"/>
      <c r="E23" s="57"/>
      <c r="F23" s="56"/>
      <c r="G23" s="56"/>
      <c r="H23" s="56"/>
      <c r="I23" s="56"/>
      <c r="J23" s="32">
        <f t="shared" ref="J23:J33" si="0">SUM(C23:I23)</f>
        <v>0</v>
      </c>
    </row>
    <row r="24" spans="1:11" ht="17.100000000000001" customHeight="1" x14ac:dyDescent="0.2">
      <c r="A24" s="38" t="s">
        <v>58</v>
      </c>
      <c r="B24" s="37"/>
      <c r="C24" s="56"/>
      <c r="D24" s="56"/>
      <c r="E24" s="56"/>
      <c r="F24" s="56"/>
      <c r="G24" s="56"/>
      <c r="H24" s="56"/>
      <c r="I24" s="56"/>
      <c r="J24" s="32">
        <f t="shared" si="0"/>
        <v>0</v>
      </c>
    </row>
    <row r="25" spans="1:11" ht="17.100000000000001" customHeight="1" x14ac:dyDescent="0.2">
      <c r="A25" s="38" t="s">
        <v>6</v>
      </c>
      <c r="B25" s="37"/>
      <c r="C25" s="56"/>
      <c r="D25" s="56"/>
      <c r="E25" s="56"/>
      <c r="F25" s="56"/>
      <c r="G25" s="56"/>
      <c r="H25" s="56"/>
      <c r="I25" s="56"/>
      <c r="J25" s="32">
        <f t="shared" si="0"/>
        <v>0</v>
      </c>
    </row>
    <row r="26" spans="1:11" ht="17.100000000000001" customHeight="1" x14ac:dyDescent="0.2">
      <c r="A26" s="38" t="s">
        <v>42</v>
      </c>
      <c r="B26" s="37"/>
      <c r="C26" s="56"/>
      <c r="D26" s="56"/>
      <c r="E26" s="56"/>
      <c r="F26" s="56"/>
      <c r="G26" s="56"/>
      <c r="H26" s="56"/>
      <c r="I26" s="56"/>
      <c r="J26" s="32">
        <f t="shared" si="0"/>
        <v>0</v>
      </c>
    </row>
    <row r="27" spans="1:11" ht="17.100000000000001" customHeight="1" x14ac:dyDescent="0.2">
      <c r="A27" s="38" t="s">
        <v>43</v>
      </c>
      <c r="B27" s="37"/>
      <c r="C27" s="56"/>
      <c r="D27" s="56"/>
      <c r="E27" s="56"/>
      <c r="F27" s="56"/>
      <c r="G27" s="56"/>
      <c r="H27" s="56"/>
      <c r="I27" s="56"/>
      <c r="J27" s="32">
        <f t="shared" si="0"/>
        <v>0</v>
      </c>
    </row>
    <row r="28" spans="1:11" ht="17.100000000000001" customHeight="1" x14ac:dyDescent="0.2">
      <c r="A28" s="38" t="s">
        <v>41</v>
      </c>
      <c r="B28" s="37"/>
      <c r="C28" s="56"/>
      <c r="D28" s="56"/>
      <c r="E28" s="56"/>
      <c r="F28" s="56"/>
      <c r="G28" s="56"/>
      <c r="H28" s="56"/>
      <c r="I28" s="56"/>
      <c r="J28" s="32">
        <f t="shared" si="0"/>
        <v>0</v>
      </c>
    </row>
    <row r="29" spans="1:11" ht="17.100000000000001" customHeight="1" x14ac:dyDescent="0.2">
      <c r="A29" s="38" t="s">
        <v>27</v>
      </c>
      <c r="B29" s="37"/>
      <c r="C29" s="56"/>
      <c r="D29" s="56"/>
      <c r="E29" s="56"/>
      <c r="F29" s="56"/>
      <c r="G29" s="56"/>
      <c r="H29" s="57"/>
      <c r="I29" s="56"/>
      <c r="J29" s="32">
        <f t="shared" si="0"/>
        <v>0</v>
      </c>
    </row>
    <row r="30" spans="1:11" ht="17.100000000000001" customHeight="1" x14ac:dyDescent="0.2">
      <c r="A30" s="38" t="s">
        <v>39</v>
      </c>
      <c r="B30" s="37"/>
      <c r="C30" s="56"/>
      <c r="D30" s="56"/>
      <c r="E30" s="56"/>
      <c r="F30" s="56"/>
      <c r="G30" s="56"/>
      <c r="H30" s="56"/>
      <c r="I30" s="56"/>
      <c r="J30" s="32">
        <f t="shared" si="0"/>
        <v>0</v>
      </c>
    </row>
    <row r="31" spans="1:11" ht="17.100000000000001" customHeight="1" x14ac:dyDescent="0.2">
      <c r="A31" s="38" t="s">
        <v>44</v>
      </c>
      <c r="B31" s="37"/>
      <c r="C31" s="56"/>
      <c r="D31" s="56"/>
      <c r="E31" s="56"/>
      <c r="F31" s="56"/>
      <c r="G31" s="56"/>
      <c r="H31" s="56"/>
      <c r="I31" s="56"/>
      <c r="J31" s="32">
        <f t="shared" si="0"/>
        <v>0</v>
      </c>
    </row>
    <row r="32" spans="1:11" ht="17.100000000000001" customHeight="1" x14ac:dyDescent="0.2">
      <c r="A32" s="38" t="s">
        <v>26</v>
      </c>
      <c r="B32" s="37"/>
      <c r="C32" s="56"/>
      <c r="D32" s="56"/>
      <c r="E32" s="56"/>
      <c r="F32" s="56"/>
      <c r="G32" s="56"/>
      <c r="H32" s="56"/>
      <c r="I32" s="56"/>
      <c r="J32" s="32">
        <f t="shared" si="0"/>
        <v>0</v>
      </c>
    </row>
    <row r="33" spans="1:12" ht="17.100000000000001" customHeight="1" x14ac:dyDescent="0.2">
      <c r="A33" s="38" t="s">
        <v>40</v>
      </c>
      <c r="B33" s="37"/>
      <c r="C33" s="56">
        <v>425</v>
      </c>
      <c r="D33" s="56"/>
      <c r="E33" s="56"/>
      <c r="F33" s="56"/>
      <c r="G33" s="56"/>
      <c r="H33" s="56"/>
      <c r="I33" s="56"/>
      <c r="J33" s="32">
        <f>SUM(C33:I33)</f>
        <v>425</v>
      </c>
      <c r="L33" s="59"/>
    </row>
    <row r="34" spans="1:12" ht="17.100000000000001" customHeight="1" x14ac:dyDescent="0.2">
      <c r="A34" s="44" t="s">
        <v>7</v>
      </c>
      <c r="B34" s="43"/>
      <c r="C34" s="32">
        <f t="shared" ref="C34:J34" si="1">SUM(C23:C33)</f>
        <v>425</v>
      </c>
      <c r="D34" s="32">
        <f t="shared" si="1"/>
        <v>0</v>
      </c>
      <c r="E34" s="32">
        <f t="shared" si="1"/>
        <v>0</v>
      </c>
      <c r="F34" s="32">
        <f t="shared" si="1"/>
        <v>0</v>
      </c>
      <c r="G34" s="32">
        <f t="shared" si="1"/>
        <v>0</v>
      </c>
      <c r="H34" s="32">
        <f t="shared" si="1"/>
        <v>0</v>
      </c>
      <c r="I34" s="32">
        <f t="shared" si="1"/>
        <v>0</v>
      </c>
      <c r="J34" s="32">
        <f t="shared" si="1"/>
        <v>425</v>
      </c>
      <c r="L34" s="60"/>
    </row>
    <row r="35" spans="1:12" ht="17.100000000000001" customHeight="1" x14ac:dyDescent="0.2">
      <c r="I35" s="25" t="s">
        <v>8</v>
      </c>
      <c r="J35" s="58">
        <f>SUM(J34)</f>
        <v>425</v>
      </c>
      <c r="K35" s="34"/>
    </row>
    <row r="36" spans="1:12" ht="17.100000000000001" customHeight="1" x14ac:dyDescent="0.2">
      <c r="I36" s="25" t="s">
        <v>9</v>
      </c>
      <c r="J36" s="3"/>
    </row>
    <row r="37" spans="1:12" ht="17.100000000000001" customHeight="1" x14ac:dyDescent="0.2">
      <c r="A37" s="29" t="s">
        <v>10</v>
      </c>
      <c r="B37" s="36"/>
      <c r="C37" s="30"/>
      <c r="D37" s="30"/>
      <c r="E37" s="30"/>
      <c r="F37" s="30"/>
      <c r="G37" s="31"/>
      <c r="I37" s="25" t="s">
        <v>11</v>
      </c>
      <c r="J37" s="58">
        <f>J35-J36</f>
        <v>425</v>
      </c>
    </row>
    <row r="38" spans="1:12" x14ac:dyDescent="0.2">
      <c r="A38" s="79" t="s">
        <v>65</v>
      </c>
      <c r="B38" s="80"/>
      <c r="C38" s="80"/>
      <c r="D38" s="80"/>
      <c r="E38" s="80"/>
      <c r="F38" s="80"/>
      <c r="G38" s="80"/>
    </row>
    <row r="39" spans="1:12" x14ac:dyDescent="0.2">
      <c r="A39" s="81"/>
      <c r="B39" s="82"/>
      <c r="C39" s="82"/>
      <c r="D39" s="82"/>
      <c r="E39" s="82"/>
      <c r="F39" s="82"/>
      <c r="G39" s="82"/>
    </row>
    <row r="40" spans="1:12" x14ac:dyDescent="0.2">
      <c r="A40" s="81"/>
      <c r="B40" s="82"/>
      <c r="C40" s="82"/>
      <c r="D40" s="82"/>
      <c r="E40" s="82"/>
      <c r="F40" s="82"/>
      <c r="G40" s="82"/>
    </row>
    <row r="42" spans="1:12" ht="12" customHeight="1" x14ac:dyDescent="0.2">
      <c r="A42" s="9" t="s">
        <v>12</v>
      </c>
      <c r="B42" s="10"/>
      <c r="C42" s="10"/>
      <c r="D42" s="10"/>
      <c r="E42" s="11"/>
      <c r="G42" s="18" t="s">
        <v>46</v>
      </c>
    </row>
    <row r="43" spans="1:12" ht="12" customHeight="1" x14ac:dyDescent="0.2">
      <c r="A43" s="12" t="s">
        <v>13</v>
      </c>
      <c r="B43" s="13"/>
      <c r="C43" s="13"/>
      <c r="D43" s="13"/>
      <c r="E43" s="14"/>
      <c r="G43" s="19" t="s">
        <v>14</v>
      </c>
      <c r="H43" s="19" t="s">
        <v>15</v>
      </c>
      <c r="I43" s="19" t="s">
        <v>16</v>
      </c>
      <c r="J43" s="19" t="s">
        <v>17</v>
      </c>
    </row>
    <row r="44" spans="1:12" ht="12" customHeight="1" x14ac:dyDescent="0.2">
      <c r="A44" s="12" t="s">
        <v>18</v>
      </c>
      <c r="B44" s="13"/>
      <c r="C44" s="13"/>
      <c r="D44" s="13"/>
      <c r="E44" s="14"/>
      <c r="G44" s="65"/>
      <c r="H44" s="47"/>
      <c r="I44" s="47"/>
      <c r="J44" s="48">
        <f>J37</f>
        <v>425</v>
      </c>
    </row>
    <row r="45" spans="1:12" ht="12" customHeight="1" x14ac:dyDescent="0.2">
      <c r="A45" s="12" t="s">
        <v>19</v>
      </c>
      <c r="B45" s="13"/>
      <c r="C45" s="13"/>
      <c r="D45" s="13"/>
      <c r="E45" s="14"/>
      <c r="G45" s="49"/>
      <c r="H45" s="50"/>
      <c r="I45" s="50"/>
      <c r="J45" s="51"/>
    </row>
    <row r="46" spans="1:12" ht="12" customHeight="1" x14ac:dyDescent="0.2">
      <c r="A46" s="12" t="s">
        <v>20</v>
      </c>
      <c r="B46" s="13"/>
      <c r="C46" s="13"/>
      <c r="D46" s="13"/>
      <c r="E46" s="14"/>
      <c r="G46" s="49"/>
      <c r="H46" s="50"/>
      <c r="I46" s="50"/>
      <c r="J46" s="51"/>
    </row>
    <row r="47" spans="1:12" ht="12" customHeight="1" x14ac:dyDescent="0.2">
      <c r="A47" s="12" t="s">
        <v>21</v>
      </c>
      <c r="B47" s="13"/>
      <c r="C47" s="13"/>
      <c r="D47" s="13"/>
      <c r="E47" s="14"/>
      <c r="G47" s="49"/>
      <c r="H47" s="50"/>
      <c r="I47" s="50"/>
      <c r="J47" s="51"/>
    </row>
    <row r="48" spans="1:12" ht="12" customHeight="1" x14ac:dyDescent="0.2">
      <c r="A48" s="12" t="s">
        <v>22</v>
      </c>
      <c r="B48" s="13"/>
      <c r="C48" s="13"/>
      <c r="D48" s="13"/>
      <c r="E48" s="14"/>
      <c r="G48" s="52"/>
      <c r="H48" s="53"/>
      <c r="I48" s="53"/>
      <c r="J48" s="54"/>
    </row>
    <row r="49" spans="1:10" ht="12" customHeight="1" x14ac:dyDescent="0.2">
      <c r="A49" s="15" t="s">
        <v>56</v>
      </c>
      <c r="B49" s="16"/>
      <c r="C49" s="16"/>
      <c r="D49" s="16"/>
      <c r="E49" s="17"/>
    </row>
    <row r="51" spans="1:10" x14ac:dyDescent="0.2">
      <c r="A51" s="27" t="s">
        <v>23</v>
      </c>
      <c r="B51" s="28"/>
      <c r="C51" s="5"/>
      <c r="D51" s="5"/>
      <c r="E51" s="6"/>
      <c r="F51" s="28" t="s">
        <v>24</v>
      </c>
      <c r="G51" s="5"/>
      <c r="H51" s="5"/>
      <c r="I51" s="5"/>
      <c r="J51" s="6"/>
    </row>
    <row r="52" spans="1:10" ht="22.5" customHeight="1" x14ac:dyDescent="0.2">
      <c r="A52" s="83"/>
      <c r="B52" s="84"/>
      <c r="C52" s="84"/>
      <c r="D52" s="84"/>
      <c r="E52" s="85"/>
      <c r="F52" s="7"/>
      <c r="G52" s="2"/>
      <c r="H52" s="2"/>
      <c r="I52" s="2"/>
      <c r="J52" s="8"/>
    </row>
    <row r="54" spans="1:10" s="26" customFormat="1" x14ac:dyDescent="0.2">
      <c r="A54" s="72" t="s">
        <v>38</v>
      </c>
      <c r="B54" s="73"/>
      <c r="C54" s="73"/>
      <c r="D54" s="73"/>
      <c r="E54" s="73"/>
      <c r="F54" s="73"/>
      <c r="G54" s="73"/>
      <c r="H54" s="73"/>
      <c r="I54" s="73"/>
      <c r="J54" s="73"/>
    </row>
    <row r="55" spans="1:10" x14ac:dyDescent="0.2">
      <c r="A55" s="73"/>
      <c r="B55" s="73"/>
      <c r="C55" s="73"/>
      <c r="D55" s="73"/>
      <c r="E55" s="73"/>
      <c r="F55" s="73"/>
      <c r="G55" s="73"/>
      <c r="H55" s="73"/>
      <c r="I55" s="73"/>
      <c r="J55" s="73"/>
    </row>
    <row r="56" spans="1:10" x14ac:dyDescent="0.2">
      <c r="A56" s="61"/>
      <c r="B56" s="61"/>
      <c r="C56" s="61"/>
      <c r="D56" s="61"/>
      <c r="E56" s="61"/>
      <c r="F56" s="61"/>
      <c r="G56" s="61"/>
      <c r="H56" s="61"/>
      <c r="I56" s="61"/>
      <c r="J56" s="61"/>
    </row>
    <row r="57" spans="1:10" ht="9" customHeight="1" x14ac:dyDescent="0.2">
      <c r="F57" s="69"/>
      <c r="G57" s="69"/>
      <c r="H57" s="69"/>
      <c r="I57" s="69"/>
      <c r="J57" s="69"/>
    </row>
    <row r="58" spans="1:10" ht="9" customHeight="1" x14ac:dyDescent="0.2">
      <c r="F58" s="71"/>
      <c r="G58" s="71"/>
      <c r="H58" s="71"/>
      <c r="I58" s="71"/>
      <c r="J58" s="71"/>
    </row>
    <row r="59" spans="1:10" ht="9" customHeight="1" x14ac:dyDescent="0.2">
      <c r="F59" s="71"/>
      <c r="G59" s="71"/>
      <c r="H59" s="71"/>
      <c r="I59" s="71"/>
      <c r="J59" s="71"/>
    </row>
    <row r="60" spans="1:10" ht="9" customHeight="1" x14ac:dyDescent="0.2">
      <c r="F60" s="71"/>
      <c r="G60" s="71"/>
      <c r="H60" s="71"/>
      <c r="I60" s="71"/>
      <c r="J60" s="71"/>
    </row>
    <row r="61" spans="1:10" ht="9" customHeight="1" x14ac:dyDescent="0.2">
      <c r="F61" s="71"/>
      <c r="G61" s="71"/>
      <c r="H61" s="71"/>
      <c r="I61" s="71"/>
      <c r="J61" s="71"/>
    </row>
  </sheetData>
  <mergeCells count="31">
    <mergeCell ref="A1:J1"/>
    <mergeCell ref="A2:J2"/>
    <mergeCell ref="A3:J3"/>
    <mergeCell ref="A4:J4"/>
    <mergeCell ref="A10:E10"/>
    <mergeCell ref="F10:J10"/>
    <mergeCell ref="C6:G6"/>
    <mergeCell ref="C7:J7"/>
    <mergeCell ref="C8:J8"/>
    <mergeCell ref="F59:J59"/>
    <mergeCell ref="F60:J60"/>
    <mergeCell ref="F61:J61"/>
    <mergeCell ref="A14:E14"/>
    <mergeCell ref="A15:E15"/>
    <mergeCell ref="A54:J55"/>
    <mergeCell ref="F14:J14"/>
    <mergeCell ref="F15:J15"/>
    <mergeCell ref="A17:E17"/>
    <mergeCell ref="F17:J17"/>
    <mergeCell ref="F58:J58"/>
    <mergeCell ref="A38:G40"/>
    <mergeCell ref="A52:E52"/>
    <mergeCell ref="F12:J12"/>
    <mergeCell ref="A13:E13"/>
    <mergeCell ref="F13:J13"/>
    <mergeCell ref="F57:J57"/>
    <mergeCell ref="A11:E11"/>
    <mergeCell ref="F11:J11"/>
    <mergeCell ref="A12:E12"/>
    <mergeCell ref="A16:E16"/>
    <mergeCell ref="F16:J16"/>
  </mergeCells>
  <phoneticPr fontId="8" type="noConversion"/>
  <printOptions horizontalCentered="1"/>
  <pageMargins left="0.24" right="0.23" top="0.34" bottom="0.19" header="0.34" footer="0.19"/>
  <pageSetup scale="94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CAF9176802D42B2B334B3BE0A3DA6" ma:contentTypeVersion="13" ma:contentTypeDescription="Create a new document." ma:contentTypeScope="" ma:versionID="8bece968f5ee013ad09946858e46163a">
  <xsd:schema xmlns:xsd="http://www.w3.org/2001/XMLSchema" xmlns:xs="http://www.w3.org/2001/XMLSchema" xmlns:p="http://schemas.microsoft.com/office/2006/metadata/properties" xmlns:ns2="6c337017-de8f-45da-9572-e0dc5e50422b" xmlns:ns3="3b5bbf71-8115-4819-832f-21edd6fa102c" targetNamespace="http://schemas.microsoft.com/office/2006/metadata/properties" ma:root="true" ma:fieldsID="5c8d69b5f4f1872ed149cf4120da3414" ns2:_="" ns3:_="">
    <xsd:import namespace="6c337017-de8f-45da-9572-e0dc5e50422b"/>
    <xsd:import namespace="3b5bbf71-8115-4819-832f-21edd6fa10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37017-de8f-45da-9572-e0dc5e5042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4c96f58-6cfa-4ebc-976c-0973bd9928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bbf71-8115-4819-832f-21edd6fa102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07a5476-c9f0-441c-9715-2a1dbe81f940}" ma:internalName="TaxCatchAll" ma:showField="CatchAllData" ma:web="3b5bbf71-8115-4819-832f-21edd6fa10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337017-de8f-45da-9572-e0dc5e50422b">
      <Terms xmlns="http://schemas.microsoft.com/office/infopath/2007/PartnerControls"/>
    </lcf76f155ced4ddcb4097134ff3c332f>
    <TaxCatchAll xmlns="3b5bbf71-8115-4819-832f-21edd6fa102c" xsi:nil="true"/>
  </documentManagement>
</p:properties>
</file>

<file path=customXml/itemProps1.xml><?xml version="1.0" encoding="utf-8"?>
<ds:datastoreItem xmlns:ds="http://schemas.openxmlformats.org/officeDocument/2006/customXml" ds:itemID="{7B1F0C23-E228-4C0D-A6E9-83C6EC02D3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8F9464-2874-4E61-B757-FD4A4DCA57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37017-de8f-45da-9572-e0dc5e50422b"/>
    <ds:schemaRef ds:uri="3b5bbf71-8115-4819-832f-21edd6fa10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B27E79-409B-42A7-85F6-D8E6326081DD}">
  <ds:schemaRefs>
    <ds:schemaRef ds:uri="http://schemas.microsoft.com/office/2006/metadata/properties"/>
    <ds:schemaRef ds:uri="http://schemas.microsoft.com/office/infopath/2007/PartnerControls"/>
    <ds:schemaRef ds:uri="6c337017-de8f-45da-9572-e0dc5e50422b"/>
    <ds:schemaRef ds:uri="3b5bbf71-8115-4819-832f-21edd6fa102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</vt:lpstr>
      <vt:lpstr>Form!Print_Area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AUPHA</dc:creator>
  <cp:lastModifiedBy>Mike Nasierowski</cp:lastModifiedBy>
  <cp:lastPrinted>2017-09-01T11:41:13Z</cp:lastPrinted>
  <dcterms:created xsi:type="dcterms:W3CDTF">1998-06-08T19:37:16Z</dcterms:created>
  <dcterms:modified xsi:type="dcterms:W3CDTF">2026-01-24T07:15:45Z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0x0101003F1CAF9176802D42B2B334B3BE0A3DA6</vt:lpwstr>
  </property>
</Properties>
</file>